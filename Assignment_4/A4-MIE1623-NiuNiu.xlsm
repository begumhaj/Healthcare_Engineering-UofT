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gum\Desktop\MIE1623Hintroduction to healthcare engineering\4.Assignments\Assignment4\"/>
    </mc:Choice>
  </mc:AlternateContent>
  <bookViews>
    <workbookView xWindow="0" yWindow="0" windowWidth="20490" windowHeight="7755"/>
  </bookViews>
  <sheets>
    <sheet name="MMs Model" sheetId="1" r:id="rId1"/>
    <sheet name="Plot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<sst xmlns="http://schemas.openxmlformats.org/spreadsheetml/2006/main" count="24" uniqueCount="22">
  <si>
    <t>Decision Variable</t>
  </si>
  <si>
    <t>Number of doctors</t>
  </si>
  <si>
    <t>Input Parameters</t>
  </si>
  <si>
    <t>Arrival rate 𝛌 (patients/hr)</t>
  </si>
  <si>
    <t>Service rate 𝛍 (patients/hr)</t>
  </si>
  <si>
    <t>Wage cost (/doctor/hr)</t>
  </si>
  <si>
    <t>Utilization Factor (U)</t>
  </si>
  <si>
    <t>Pr(System is idle) (P0)</t>
  </si>
  <si>
    <t>Avg number of customers in queue (Lq)</t>
  </si>
  <si>
    <t>Avg wait time in queue (Wq)</t>
  </si>
  <si>
    <t>Avg wait time in system (W)</t>
  </si>
  <si>
    <t>Cost Calculations</t>
  </si>
  <si>
    <t>Wage cost (/hr)</t>
  </si>
  <si>
    <t>Total cost (/hr)</t>
  </si>
  <si>
    <t>Queuing cost (/patient/hr)</t>
  </si>
  <si>
    <t>Queuing cost (/hr)</t>
  </si>
  <si>
    <t>Queuing System Info</t>
  </si>
  <si>
    <t>Total Cost (/hr)</t>
  </si>
  <si>
    <t>Queuing Cost (/hr)</t>
  </si>
  <si>
    <t>Wage Cost (/hr)</t>
  </si>
  <si>
    <t>According to both the cost table and graph, the optimal number of doctors should be 9 to have the least total cost.</t>
  </si>
  <si>
    <t>Infinity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</si>
</sst>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Costs vs. Number of doctors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Plot!$B$1</c:f>
              <c:strCache>
                <c:ptCount val="1"/>
                <c:pt idx="0">
                  <c:v>Wage Cost (/hr)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Plot!$A$2:$A$10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numCache>
            </c:numRef>
          </c:cat>
          <c:val>
            <c:numRef>
              <c:f>Plot!$B$2:$B$10</c:f>
              <c:numCache>
                <c:formatCode>0.00</c:formatCode>
                <c:ptCount val="9"/>
                <c:pt idx="0">
                  <c:v>994.31818181818176</c:v>
                </c:pt>
                <c:pt idx="1">
                  <c:v>1136.3636363636363</c:v>
                </c:pt>
                <c:pt idx="2">
                  <c:v>1278.4090909090908</c:v>
                </c:pt>
                <c:pt idx="3">
                  <c:v>1420.4545454545453</c:v>
                </c:pt>
                <c:pt idx="4">
                  <c:v>1562.4999999999998</c:v>
                </c:pt>
                <c:pt idx="5">
                  <c:v>1704.5454545454545</c:v>
                </c:pt>
                <c:pt idx="6">
                  <c:v>1846.590909090909</c:v>
                </c:pt>
                <c:pt idx="7">
                  <c:v>1988.6363636363635</c:v>
                </c:pt>
                <c:pt idx="8">
                  <c:v>2130.681818181818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28-46FA-ABAB-1B32B30AE051}"/>
            </c:ext>
          </c:extLst>
        </c:ser>
        <c:ser>
          <c:idx val="1"/>
          <c:order val="1"/>
          <c:tx>
            <c:strRef>
              <c:f>Plot!$C$1</c:f>
              <c:strCache>
                <c:ptCount val="1"/>
                <c:pt idx="0">
                  <c:v>Queuing Cost (/hr)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Plot!$A$2:$A$10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numCache>
            </c:numRef>
          </c:cat>
          <c:val>
            <c:numRef>
              <c:f>Plot!$C$2:$C$10</c:f>
              <c:numCache>
                <c:formatCode>0.00</c:formatCode>
                <c:ptCount val="9"/>
                <c:pt idx="0">
                  <c:v>1104.8942216608777</c:v>
                </c:pt>
                <c:pt idx="1">
                  <c:v>321.2829772908122</c:v>
                </c:pt>
                <c:pt idx="2">
                  <c:v>117.5885476174474</c:v>
                </c:pt>
                <c:pt idx="3">
                  <c:v>45.584659209337879</c:v>
                </c:pt>
                <c:pt idx="4">
                  <c:v>17.719910761258234</c:v>
                </c:pt>
                <c:pt idx="5">
                  <c:v>6.7422571558125766</c:v>
                </c:pt>
                <c:pt idx="6">
                  <c:v>2.480729840558157</c:v>
                </c:pt>
                <c:pt idx="7">
                  <c:v>0.87709222096384432</c:v>
                </c:pt>
                <c:pt idx="8">
                  <c:v>0.29705991586952807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528-46FA-ABAB-1B32B30AE051}"/>
            </c:ext>
          </c:extLst>
        </c:ser>
        <c:ser>
          <c:idx val="2"/>
          <c:order val="2"/>
          <c:tx>
            <c:strRef>
              <c:f>Plot!$D$1</c:f>
              <c:strCache>
                <c:ptCount val="1"/>
                <c:pt idx="0">
                  <c:v>Total Cost (/hr)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Plot!$A$2:$A$10</c:f>
              <c:numCache>
                <c:formatCode>General</c:formatCode>
                <c:ptCount val="9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</c:numCache>
            </c:numRef>
          </c:cat>
          <c:val>
            <c:numRef>
              <c:f>Plot!$D$2:$D$10</c:f>
              <c:numCache>
                <c:formatCode>0.00</c:formatCode>
                <c:ptCount val="9"/>
                <c:pt idx="0">
                  <c:v>2099.2124034790595</c:v>
                </c:pt>
                <c:pt idx="1">
                  <c:v>1457.6466136544484</c:v>
                </c:pt>
                <c:pt idx="2">
                  <c:v>1395.9976385265381</c:v>
                </c:pt>
                <c:pt idx="3">
                  <c:v>1466.0392046638831</c:v>
                </c:pt>
                <c:pt idx="4">
                  <c:v>1580.219910761258</c:v>
                </c:pt>
                <c:pt idx="5">
                  <c:v>1711.287711701267</c:v>
                </c:pt>
                <c:pt idx="6">
                  <c:v>1849.0716389314671</c:v>
                </c:pt>
                <c:pt idx="7">
                  <c:v>1989.5134558573272</c:v>
                </c:pt>
                <c:pt idx="8">
                  <c:v>2130.9788780976874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528-46FA-ABAB-1B32B30AE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29928816"/>
        <c:axId val="-729927728"/>
      </c:lineChart>
      <c:catAx>
        <c:axId val="-72992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29927728"/>
        <c:crosses val="autoZero"/>
        <c:auto val="1"/>
        <c:lblAlgn val="ctr"/>
        <c:lblOffset val="100"/>
        <c:noMultiLvlLbl val="0"/>
      </c:catAx>
      <c:valAx>
        <c:axId val="-7299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2992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</xdr:row>
          <xdr:rowOff>161925</xdr:rowOff>
        </xdr:from>
        <xdr:to>
          <xdr:col>3</xdr:col>
          <xdr:colOff>9525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365760</xdr:colOff>
      <xdr:row>4</xdr:row>
      <xdr:rowOff>53340</xdr:rowOff>
    </xdr:from>
    <xdr:to>
      <xdr:col>3</xdr:col>
      <xdr:colOff>1463040</xdr:colOff>
      <xdr:row>5</xdr:row>
      <xdr:rowOff>91440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4457700" y="784860"/>
          <a:ext cx="1097280" cy="2209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12</xdr:col>
      <xdr:colOff>323850</xdr:colOff>
      <xdr:row>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topLeftCell="A2" workbookViewId="0">
      <selection activeCell="B3" sqref="B3"/>
    </sheetView>
  </sheetViews>
  <sheetFormatPr defaultRowHeight="15" x14ac:dyDescent="0.25"/>
  <cols>
    <col min="1" max="1" width="24.140625" customWidth="1"/>
    <col min="2" max="2" width="17.7109375" customWidth="1"/>
    <col min="3" max="3" width="17.85546875" customWidth="1"/>
    <col min="4" max="4" width="28.7109375" customWidth="1"/>
    <col min="5" max="5" width="35.140625" customWidth="1"/>
    <col min="6" max="6" width="13.140625" customWidth="1"/>
  </cols>
  <sheetData>
    <row r="1" spans="1:6" x14ac:dyDescent="0.25">
      <c r="A1" s="6" t="s">
        <v>0</v>
      </c>
      <c r="B1" s="1"/>
      <c r="E1" s="4" t="s">
        <v>16</v>
      </c>
      <c r="F1" s="1"/>
    </row>
    <row r="2" spans="1:6" x14ac:dyDescent="0.25">
      <c r="A2" s="1" t="s">
        <v>1</v>
      </c>
      <c r="B2" s="1">
        <v>9</v>
      </c>
      <c r="E2" s="1" t="s">
        <v>6</v>
      </c>
      <c r="F2" s="2">
        <v>2</v>
      </c>
    </row>
    <row r="3" spans="1:6" x14ac:dyDescent="0.25">
      <c r="A3" s="1"/>
      <c r="B3" s="1"/>
      <c r="E3" s="1" t="s">
        <v>7</v>
      </c>
      <c r="F3" s="2">
        <v>-9.0909090909090912E-2</v>
      </c>
    </row>
    <row r="4" spans="1:6" x14ac:dyDescent="0.25">
      <c r="A4" s="6" t="s">
        <v>2</v>
      </c>
      <c r="B4" s="1"/>
      <c r="E4" s="1" t="s">
        <v>8</v>
      </c>
      <c r="F4" s="2">
        <v>-6.5454545454545459</v>
      </c>
    </row>
    <row r="5" spans="1:6" x14ac:dyDescent="0.25">
      <c r="A5" s="1" t="s">
        <v>3</v>
      </c>
      <c r="B5" s="2">
        <v>30</v>
      </c>
      <c r="E5" s="1" t="s">
        <v>9</v>
      </c>
      <c r="F5" s="2">
        <v>-0.2181818181818182</v>
      </c>
    </row>
    <row r="6" spans="1:6" x14ac:dyDescent="0.25">
      <c r="A6" s="1" t="s">
        <v>4</v>
      </c>
      <c r="B6" s="2">
        <v>5</v>
      </c>
      <c r="E6" s="1" t="s">
        <v>10</v>
      </c>
      <c r="F6" s="2">
        <v>-1.8181818181818198E-2</v>
      </c>
    </row>
    <row r="7" spans="1:6" x14ac:dyDescent="0.25">
      <c r="A7" s="1" t="s">
        <v>5</v>
      </c>
      <c r="B7" s="2">
        <f>250000/(40*44)</f>
        <v>142.04545454545453</v>
      </c>
      <c r="E7" s="1"/>
      <c r="F7" s="2"/>
    </row>
    <row r="8" spans="1:6" x14ac:dyDescent="0.25">
      <c r="A8" s="1" t="s">
        <v>14</v>
      </c>
      <c r="B8" s="2">
        <f>5*60</f>
        <v>300</v>
      </c>
      <c r="E8" s="4" t="s">
        <v>11</v>
      </c>
      <c r="F8" s="2"/>
    </row>
    <row r="9" spans="1:6" x14ac:dyDescent="0.25">
      <c r="E9" s="1" t="s">
        <v>12</v>
      </c>
      <c r="F9" s="2">
        <v>426.13636363636363</v>
      </c>
    </row>
    <row r="10" spans="1:6" x14ac:dyDescent="0.25">
      <c r="E10" s="1" t="s">
        <v>15</v>
      </c>
      <c r="F10" s="2" t="s">
        <v>21</v>
      </c>
    </row>
    <row r="11" spans="1:6" x14ac:dyDescent="0.25">
      <c r="E11" s="1" t="s">
        <v>13</v>
      </c>
      <c r="F11" s="2" t="s">
        <v>21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utput">
                <anchor moveWithCells="1">
                  <from>
                    <xdr:col>2</xdr:col>
                    <xdr:colOff>333375</xdr:colOff>
                    <xdr:row>3</xdr:row>
                    <xdr:rowOff>161925</xdr:rowOff>
                  </from>
                  <to>
                    <xdr:col>3</xdr:col>
                    <xdr:colOff>9525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2"/>
  <sheetViews>
    <sheetView workbookViewId="0">
      <selection activeCell="E21" sqref="E21"/>
    </sheetView>
  </sheetViews>
  <sheetFormatPr defaultRowHeight="15" x14ac:dyDescent="0.25"/>
  <cols>
    <col min="1" max="1" width="19" customWidth="1"/>
    <col min="2" max="2" width="19.28515625" customWidth="1"/>
    <col min="3" max="3" width="20.7109375" customWidth="1"/>
    <col min="4" max="4" width="20.85546875" customWidth="1"/>
    <col min="5" max="5" width="28" customWidth="1"/>
  </cols>
  <sheetData>
    <row r="1" spans="1:5" x14ac:dyDescent="0.25">
      <c r="A1" s="3" t="s">
        <v>1</v>
      </c>
      <c r="B1" s="3" t="s">
        <v>19</v>
      </c>
      <c r="C1" s="3" t="s">
        <v>18</v>
      </c>
      <c r="D1" s="3" t="s">
        <v>17</v>
      </c>
    </row>
    <row r="2" spans="1:5" x14ac:dyDescent="0.25">
      <c r="A2" s="1">
        <v>7</v>
      </c>
      <c r="B2" s="2">
        <v>994.31818181818176</v>
      </c>
      <c r="C2" s="2">
        <v>1104.8942216608777</v>
      </c>
      <c r="D2" s="2">
        <v>2099.2124034790595</v>
      </c>
    </row>
    <row r="3" spans="1:5" x14ac:dyDescent="0.25">
      <c r="A3" s="1">
        <v>8</v>
      </c>
      <c r="B3" s="2">
        <v>1136.3636363636363</v>
      </c>
      <c r="C3" s="2">
        <v>321.2829772908122</v>
      </c>
      <c r="D3" s="2">
        <v>1457.6466136544484</v>
      </c>
    </row>
    <row r="4" spans="1:5" x14ac:dyDescent="0.25">
      <c r="A4" s="4">
        <v>9</v>
      </c>
      <c r="B4" s="5">
        <v>1278.4090909090908</v>
      </c>
      <c r="C4" s="5">
        <v>117.5885476174474</v>
      </c>
      <c r="D4" s="5">
        <v>1395.9976385265381</v>
      </c>
    </row>
    <row r="5" spans="1:5" x14ac:dyDescent="0.25">
      <c r="A5" s="1">
        <v>10</v>
      </c>
      <c r="B5" s="2">
        <v>1420.4545454545453</v>
      </c>
      <c r="C5" s="2">
        <v>45.584659209337879</v>
      </c>
      <c r="D5" s="2">
        <v>1466.0392046638831</v>
      </c>
    </row>
    <row r="6" spans="1:5" x14ac:dyDescent="0.25">
      <c r="A6" s="1">
        <v>11</v>
      </c>
      <c r="B6" s="2">
        <v>1562.4999999999998</v>
      </c>
      <c r="C6" s="2">
        <v>17.719910761258234</v>
      </c>
      <c r="D6" s="2">
        <v>1580.219910761258</v>
      </c>
    </row>
    <row r="7" spans="1:5" x14ac:dyDescent="0.25">
      <c r="A7" s="1">
        <v>12</v>
      </c>
      <c r="B7" s="2">
        <v>1704.5454545454545</v>
      </c>
      <c r="C7" s="2">
        <v>6.7422571558125766</v>
      </c>
      <c r="D7" s="2">
        <v>1711.287711701267</v>
      </c>
    </row>
    <row r="8" spans="1:5" x14ac:dyDescent="0.25">
      <c r="A8" s="1">
        <v>13</v>
      </c>
      <c r="B8" s="2">
        <v>1846.590909090909</v>
      </c>
      <c r="C8" s="2">
        <v>2.480729840558157</v>
      </c>
      <c r="D8" s="2">
        <v>1849.0716389314671</v>
      </c>
    </row>
    <row r="9" spans="1:5" x14ac:dyDescent="0.25">
      <c r="A9" s="1">
        <v>14</v>
      </c>
      <c r="B9" s="2">
        <v>1988.6363636363635</v>
      </c>
      <c r="C9" s="2">
        <v>0.87709222096384432</v>
      </c>
      <c r="D9" s="2">
        <v>1989.5134558573272</v>
      </c>
    </row>
    <row r="10" spans="1:5" x14ac:dyDescent="0.25">
      <c r="A10" s="1">
        <v>15</v>
      </c>
      <c r="B10" s="2">
        <v>2130.681818181818</v>
      </c>
      <c r="C10" s="2">
        <v>0.29705991586952807</v>
      </c>
      <c r="D10" s="2">
        <v>2130.9788780976874</v>
      </c>
    </row>
    <row r="12" spans="1:5" x14ac:dyDescent="0.25">
      <c r="A12" s="7" t="s">
        <v>20</v>
      </c>
      <c r="B12" s="7"/>
      <c r="C12" s="7"/>
      <c r="D12" s="7"/>
      <c r="E12" s="7"/>
    </row>
  </sheetData>
  <mergeCells count="1">
    <mergeCell ref="A12:E1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MMs Model</vt:lpstr>
      <vt:lpstr>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牛嘉玥</dc:creator>
  <cp:lastModifiedBy>Windows User</cp:lastModifiedBy>
  <dcterms:created xsi:type="dcterms:W3CDTF">2015-06-05T18:17:20Z</dcterms:created>
  <dcterms:modified xsi:type="dcterms:W3CDTF">2020-03-11T14:26:43Z</dcterms:modified>
</cp:coreProperties>
</file>